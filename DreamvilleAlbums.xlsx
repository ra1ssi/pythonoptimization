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ythonOptimization\"/>
    </mc:Choice>
  </mc:AlternateContent>
  <xr:revisionPtr revIDLastSave="0" documentId="13_ncr:1_{CE6C51E0-52F0-4AC3-BBF5-4ADE8887B980}" xr6:coauthVersionLast="44" xr6:coauthVersionMax="44" xr10:uidLastSave="{00000000-0000-0000-0000-000000000000}"/>
  <bookViews>
    <workbookView xWindow="-108" yWindow="-108" windowWidth="23256" windowHeight="12576" xr2:uid="{1111FFEA-5412-46AF-8217-F7AE8F180215}"/>
  </bookViews>
  <sheets>
    <sheet name="DreamvilleAlbums" sheetId="1" r:id="rId1"/>
  </sheets>
  <definedNames>
    <definedName name="sencount" hidden="1">1</definedName>
    <definedName name="solver_adj" localSheetId="0" hidden="1">DreamvilleAlbums!$B$7:$I$7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DreamvilleAlbums!$B$7:$I$7</definedName>
    <definedName name="solver_lhs2" localSheetId="0" hidden="1">DreamvilleAlbums!$K$12:$K$13</definedName>
    <definedName name="solver_lhs3" localSheetId="0" hidden="1">DreamvilleAlbums!$K$12:$K$13</definedName>
    <definedName name="solver_lhs4" localSheetId="0" hidden="1">DreamvilleAlbums!$K$15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tri" hidden="1">1000</definedName>
    <definedName name="solver_num" localSheetId="0" hidden="1">2</definedName>
    <definedName name="solver_nwt" localSheetId="0" hidden="1">1</definedName>
    <definedName name="solver_opt" localSheetId="0" hidden="1">DreamvilleAlbums!$A$9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binary</definedName>
    <definedName name="solver_rhs2" localSheetId="0" hidden="1">DreamvilleAlbums!$M$12:$M$13</definedName>
    <definedName name="solver_rhs3" localSheetId="0" hidden="1">DreamvilleAlbums!$M$12:$M$13</definedName>
    <definedName name="solver_rhs4" localSheetId="0" hidden="1">DreamvilleAlbums!$M$15</definedName>
    <definedName name="solver_rlx" localSheetId="0" hidden="1">2</definedName>
    <definedName name="solver_rsd" localSheetId="0" hidden="1">0</definedName>
    <definedName name="solver_rsmp" hidden="1">2</definedName>
    <definedName name="solver_scl" localSheetId="0" hidden="1">1</definedName>
    <definedName name="solver_seed" hidden="1">0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" i="1" l="1"/>
  <c r="K12" i="1"/>
  <c r="O12" i="1" s="1"/>
  <c r="K13" i="1" l="1"/>
  <c r="O13" i="1" s="1"/>
</calcChain>
</file>

<file path=xl/sharedStrings.xml><?xml version="1.0" encoding="utf-8"?>
<sst xmlns="http://schemas.openxmlformats.org/spreadsheetml/2006/main" count="26" uniqueCount="17">
  <si>
    <t>Revenue</t>
  </si>
  <si>
    <t>Expense</t>
  </si>
  <si>
    <t>Constraints</t>
  </si>
  <si>
    <t>&lt;=</t>
  </si>
  <si>
    <t>Maximum Budget</t>
  </si>
  <si>
    <t>Artist/Album</t>
  </si>
  <si>
    <t>JCole</t>
  </si>
  <si>
    <t>JID</t>
  </si>
  <si>
    <t>Bas</t>
  </si>
  <si>
    <t>EarthGang</t>
  </si>
  <si>
    <t>Ari Lennox</t>
  </si>
  <si>
    <t>Lute</t>
  </si>
  <si>
    <t>Cozz</t>
  </si>
  <si>
    <t>Omen</t>
  </si>
  <si>
    <t>Staff</t>
  </si>
  <si>
    <t>Maximum Staff</t>
  </si>
  <si>
    <t>Album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</si>
</sst>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1" applyNumberFormat="1" applyFont="1"/>
    <xf numFmtId="0" fontId="0" fillId="2" borderId="0" xfId="0" applyFill="1"/>
    <xf numFmtId="44" fontId="0" fillId="3" borderId="0" xfId="1" applyFont="1" applyFill="1"/>
    <xf numFmtId="6" fontId="0" fillId="0" borderId="0" xfId="1" applyNumberFormat="1" applyFont="1"/>
    <xf numFmtId="44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11D6F-1E15-428C-B35E-8C39FDB39A30}" name="Table12" displayName="Table12" ref="A2:I5" totalsRowShown="0">
  <autoFilter ref="A2:I5" xr:uid="{A88E6BB2-5E83-470B-94AE-C22CE4ED3DF1}"/>
  <tableColumns count="9">
    <tableColumn id="1" xr3:uid="{B33EEDC9-00BE-429C-BED5-BB347BD16EC3}" name="Artist/Album"/>
    <tableColumn id="2" xr3:uid="{1FC2E1FF-644B-45EB-8CEA-A8345CEDFC8A}" name="JCole" dataCellStyle="Currency"/>
    <tableColumn id="3" xr3:uid="{8E254E0B-AE5C-4022-A168-9F7577F56B26}" name="JID" dataCellStyle="Currency"/>
    <tableColumn id="4" xr3:uid="{62193BD6-EA07-4D51-A389-630AA9593C18}" name="Bas" dataCellStyle="Currency"/>
    <tableColumn id="5" xr3:uid="{D5A85894-F675-4B52-8DF7-F05C600062BB}" name="EarthGang" dataCellStyle="Currency"/>
    <tableColumn id="6" xr3:uid="{4B90E910-5F51-4321-BA71-B11B436EAE98}" name="Ari Lennox" dataCellStyle="Currency"/>
    <tableColumn id="7" xr3:uid="{F9DE4FFB-3449-4362-A496-F985CEE55902}" name="Lute" dataCellStyle="Currency"/>
    <tableColumn id="8" xr3:uid="{8836A1EF-9D26-489D-A652-FFDBD04495FA}" name="Cozz" dataCellStyle="Currency"/>
    <tableColumn id="9" xr3:uid="{383A8127-0984-46F7-9638-7192A1651DFE}" name="Omen" dataCellStyle="Currenc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CBBA6-B222-403C-94E0-23F2EA2503F6}" name="Table13" displayName="Table13" ref="A11:I13" totalsRowShown="0" headerRowDxfId="0">
  <autoFilter ref="A11:I13" xr:uid="{158A0DD0-130F-4B3B-8AD6-49507F17FCB8}"/>
  <tableColumns count="9">
    <tableColumn id="1" xr3:uid="{3E93DBC2-E857-48F0-B158-CB0F3ADF83A3}" name="Constraints"/>
    <tableColumn id="2" xr3:uid="{50C0D6DC-D99C-4D2C-B1A3-078CAD234B4E}" name="JCole"/>
    <tableColumn id="3" xr3:uid="{D76BCBA0-0D11-41CB-B30B-6AC6DAAC590F}" name="JID"/>
    <tableColumn id="4" xr3:uid="{7681EE34-AE0E-47E0-87D3-ABE2D99A6002}" name="Bas"/>
    <tableColumn id="5" xr3:uid="{AFF8414D-2C69-438B-8F77-F934B1F93131}" name="EarthGang"/>
    <tableColumn id="6" xr3:uid="{B754726B-C210-4397-8E81-EDE266D250A5}" name="Ari Lennox"/>
    <tableColumn id="7" xr3:uid="{C7EC4053-3F8E-499F-846E-1331E5E8EEE7}" name="Lute"/>
    <tableColumn id="8" xr3:uid="{8C80B9D3-632D-4204-BB32-5B2FA5A839DD}" name="Cozz"/>
    <tableColumn id="9" xr3:uid="{939AE32B-D5E8-4E25-AE82-54896A20096A}" name="Om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3643-ED58-46E5-8E66-8EF7C3EBBED4}">
  <sheetPr>
    <tabColor theme="6"/>
  </sheetPr>
  <dimension ref="A2:R13"/>
  <sheetViews>
    <sheetView tabSelected="1" zoomScale="80" workbookViewId="0">
      <selection activeCell="H8" sqref="H8"/>
    </sheetView>
  </sheetViews>
  <sheetFormatPr defaultRowHeight="14.4" x14ac:dyDescent="0.3"/>
  <cols>
    <col min="1" max="1" width="32.109375" bestFit="1" customWidth="1"/>
    <col min="2" max="9" width="12.88671875" bestFit="1" customWidth="1"/>
    <col min="11" max="12" width="11.5546875" bestFit="1" customWidth="1"/>
    <col min="13" max="13" width="13.88671875" bestFit="1" customWidth="1"/>
    <col min="14" max="18" width="11.5546875" bestFit="1" customWidth="1"/>
  </cols>
  <sheetData>
    <row r="2" spans="1:1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18" x14ac:dyDescent="0.3">
      <c r="A3" t="s">
        <v>0</v>
      </c>
      <c r="B3" s="5">
        <v>483696</v>
      </c>
      <c r="C3" s="5">
        <v>624782</v>
      </c>
      <c r="D3" s="5">
        <v>634391</v>
      </c>
      <c r="E3" s="5">
        <v>580575</v>
      </c>
      <c r="F3" s="5">
        <v>533692</v>
      </c>
      <c r="G3" s="5">
        <v>497223</v>
      </c>
      <c r="H3" s="5">
        <v>605216</v>
      </c>
      <c r="I3" s="5">
        <v>647742</v>
      </c>
      <c r="K3" s="7"/>
      <c r="L3" s="7"/>
      <c r="M3" s="7"/>
      <c r="N3" s="7"/>
      <c r="O3" s="7"/>
      <c r="P3" s="7"/>
      <c r="Q3" s="7"/>
      <c r="R3" s="7"/>
    </row>
    <row r="4" spans="1:18" x14ac:dyDescent="0.3">
      <c r="A4" t="s">
        <v>1</v>
      </c>
      <c r="B4" s="1">
        <v>285652</v>
      </c>
      <c r="C4" s="1">
        <v>346064</v>
      </c>
      <c r="D4" s="1">
        <v>296491</v>
      </c>
      <c r="E4" s="1">
        <v>305795</v>
      </c>
      <c r="F4" s="1">
        <v>335092</v>
      </c>
      <c r="G4" s="1">
        <v>328847</v>
      </c>
      <c r="H4" s="1">
        <v>328898</v>
      </c>
      <c r="I4" s="1">
        <v>259612</v>
      </c>
      <c r="L4" s="1"/>
    </row>
    <row r="5" spans="1:18" x14ac:dyDescent="0.3">
      <c r="A5" t="s">
        <v>14</v>
      </c>
      <c r="B5" s="2">
        <v>11</v>
      </c>
      <c r="C5" s="2">
        <v>11</v>
      </c>
      <c r="D5" s="2">
        <v>7</v>
      </c>
      <c r="E5" s="2">
        <v>5</v>
      </c>
      <c r="F5" s="2">
        <v>9</v>
      </c>
      <c r="G5" s="2">
        <v>7</v>
      </c>
      <c r="H5" s="2">
        <v>10</v>
      </c>
      <c r="I5" s="2">
        <v>9</v>
      </c>
    </row>
    <row r="7" spans="1:18" x14ac:dyDescent="0.3">
      <c r="A7" t="s">
        <v>16</v>
      </c>
      <c r="B7" s="3">
        <v>1</v>
      </c>
      <c r="C7" s="3">
        <v>1</v>
      </c>
      <c r="D7" s="3">
        <v>1</v>
      </c>
      <c r="E7" s="3">
        <v>1</v>
      </c>
      <c r="F7" s="3">
        <v>0</v>
      </c>
      <c r="G7" s="3">
        <v>0</v>
      </c>
      <c r="H7" s="3">
        <v>0</v>
      </c>
      <c r="I7" s="3">
        <v>1</v>
      </c>
    </row>
    <row r="9" spans="1:18" x14ac:dyDescent="0.3">
      <c r="A9" s="4">
        <f>SUMPRODUCT(B7:I7,B3:I3)-SUMPRODUCT(B7:I7,B4:I4)</f>
        <v>1477572</v>
      </c>
    </row>
    <row r="11" spans="1:18" x14ac:dyDescent="0.3">
      <c r="A11" t="s">
        <v>2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2" spans="1:18" x14ac:dyDescent="0.3">
      <c r="A12" t="s">
        <v>4</v>
      </c>
      <c r="K12">
        <f>SUMPRODUCT(B7:I7,B4:I4)</f>
        <v>1493614</v>
      </c>
      <c r="L12" t="s">
        <v>3</v>
      </c>
      <c r="M12" s="1">
        <v>1500000</v>
      </c>
      <c r="O12" s="6">
        <f>M12-K12</f>
        <v>6386</v>
      </c>
    </row>
    <row r="13" spans="1:18" x14ac:dyDescent="0.3">
      <c r="A13" t="s">
        <v>15</v>
      </c>
      <c r="K13">
        <f>SUMPRODUCT(B7:I7,B5:I5)</f>
        <v>43</v>
      </c>
      <c r="L13" t="s">
        <v>3</v>
      </c>
      <c r="M13">
        <v>50</v>
      </c>
      <c r="O13" s="6">
        <f>M13-K13</f>
        <v>7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DreamvilleAlbums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Katiyoun Raissi</dc:creator>
  <cp:lastModifiedBy>Katiyoun Raissi</cp:lastModifiedBy>
  <dcterms:created xsi:type="dcterms:W3CDTF">2020-03-17T21:37:33Z</dcterms:created>
  <dcterms:modified xsi:type="dcterms:W3CDTF">2020-03-18T00:32:10Z</dcterms:modified>
</cp:coreProperties>
</file>